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RAFA\UNI\LABSI-LUMINOSIDADE\LABSI\"/>
    </mc:Choice>
  </mc:AlternateContent>
  <xr:revisionPtr revIDLastSave="0" documentId="13_ncr:1_{86F5D0C2-E621-4E5C-8862-7D90A4353C6C}" xr6:coauthVersionLast="47" xr6:coauthVersionMax="47" xr10:uidLastSave="{00000000-0000-0000-0000-000000000000}"/>
  <bookViews>
    <workbookView xWindow="-108" yWindow="-108" windowWidth="23256" windowHeight="12456" xr2:uid="{018CE03C-3860-4B8A-9409-A71B2F560A3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6" i="1"/>
  <c r="D5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<sst xmlns="http://schemas.openxmlformats.org/spreadsheetml/2006/main" count="17" uniqueCount="17">
  <si>
    <t>Sistema Autónomo de Controlo de Luz de uma divisão</t>
  </si>
  <si>
    <t>Gasto energético</t>
  </si>
  <si>
    <t>Componente</t>
  </si>
  <si>
    <t>Quantidade</t>
  </si>
  <si>
    <t>Consumo(mA)</t>
  </si>
  <si>
    <t>Atemega328P</t>
  </si>
  <si>
    <t>Consumo total (mA)</t>
  </si>
  <si>
    <t>HC-SR04</t>
  </si>
  <si>
    <t>LCD1602</t>
  </si>
  <si>
    <t>BH1750FVI</t>
  </si>
  <si>
    <t>SG90</t>
  </si>
  <si>
    <t>ESP-32</t>
  </si>
  <si>
    <t>Led</t>
  </si>
  <si>
    <t>IRLZ44N</t>
  </si>
  <si>
    <t>Fita led (0,5m)</t>
  </si>
  <si>
    <t>Sistema Repouso -150mA</t>
  </si>
  <si>
    <t>Sistema com 2 Motores a girar- 600mA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</si>
</sst>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DE4388-1330-44BA-A5FE-D976C44A60BC}" name="Tabela3" displayName="Tabela3" ref="A4:D16" totalsRowShown="0">
  <autoFilter ref="A4:D16" xr:uid="{B8DE4388-1330-44BA-A5FE-D976C44A60BC}"/>
  <tableColumns count="4">
    <tableColumn id="1" xr3:uid="{AD131640-6120-44C4-9934-06A4BF9C7343}" name="Componente"/>
    <tableColumn id="2" xr3:uid="{2D0C6449-99DA-4CCF-AAD3-D1A86B5337AC}" name="Consumo(mA)"/>
    <tableColumn id="3" xr3:uid="{B5C91569-F492-40A1-A378-C461FEC6B127}" name="Quantidade"/>
    <tableColumn id="4" xr3:uid="{429CC0A8-0E5B-45BD-A57B-39EE6CDDE882}" name="Consumo total (mA)" dataDxfId="0">
      <calculatedColumnFormula>PRODUCT(B5,C5)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D3FD-9FE2-4EB4-9E96-F5589858ABA5}">
  <dimension ref="A1:G15"/>
  <sheetViews>
    <sheetView tabSelected="1" workbookViewId="0">
      <selection activeCell="E9" sqref="E9"/>
    </sheetView>
  </sheetViews>
  <sheetFormatPr defaultRowHeight="14.4" x14ac:dyDescent="0.3"/>
  <cols>
    <col min="1" max="4" width="17.77734375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4" spans="1:7" x14ac:dyDescent="0.3">
      <c r="A4" t="s">
        <v>2</v>
      </c>
      <c r="B4" t="s">
        <v>4</v>
      </c>
      <c r="C4" t="s">
        <v>3</v>
      </c>
      <c r="D4" t="s">
        <v>6</v>
      </c>
      <c r="G4" t="s">
        <v>15</v>
      </c>
    </row>
    <row r="5" spans="1:7" x14ac:dyDescent="0.3">
      <c r="D5">
        <f t="shared" ref="D5:D14" si="0">PRODUCT(B5,C5)</f>
        <v>0</v>
      </c>
      <c r="G5" t="s">
        <v>16</v>
      </c>
    </row>
    <row r="6" spans="1:7" x14ac:dyDescent="0.3">
      <c r="A6" t="s">
        <v>5</v>
      </c>
      <c r="B6">
        <v>2.8</v>
      </c>
      <c r="C6">
        <v>1</v>
      </c>
      <c r="D6">
        <f>PRODUCT(B6,C6)</f>
        <v>2.8</v>
      </c>
    </row>
    <row r="7" spans="1:7" x14ac:dyDescent="0.3">
      <c r="A7" t="s">
        <v>7</v>
      </c>
      <c r="B7">
        <v>15</v>
      </c>
      <c r="C7">
        <v>2</v>
      </c>
      <c r="D7">
        <f t="shared" si="0"/>
        <v>30</v>
      </c>
    </row>
    <row r="8" spans="1:7" x14ac:dyDescent="0.3">
      <c r="A8" t="s">
        <v>8</v>
      </c>
      <c r="B8">
        <v>1.2</v>
      </c>
      <c r="C8">
        <v>1</v>
      </c>
      <c r="D8">
        <f t="shared" si="0"/>
        <v>1.2</v>
      </c>
    </row>
    <row r="9" spans="1:7" x14ac:dyDescent="0.3">
      <c r="A9" t="s">
        <v>9</v>
      </c>
      <c r="B9">
        <v>0.12</v>
      </c>
      <c r="C9">
        <v>2</v>
      </c>
      <c r="D9">
        <f t="shared" si="0"/>
        <v>0.24</v>
      </c>
    </row>
    <row r="10" spans="1:7" x14ac:dyDescent="0.3">
      <c r="A10" t="s">
        <v>10</v>
      </c>
      <c r="B10">
        <v>200</v>
      </c>
      <c r="C10">
        <v>2</v>
      </c>
      <c r="D10">
        <f t="shared" si="0"/>
        <v>400</v>
      </c>
    </row>
    <row r="11" spans="1:7" x14ac:dyDescent="0.3">
      <c r="A11" t="s">
        <v>11</v>
      </c>
      <c r="B11">
        <v>500</v>
      </c>
      <c r="C11">
        <v>1</v>
      </c>
      <c r="D11">
        <f t="shared" si="0"/>
        <v>500</v>
      </c>
    </row>
    <row r="12" spans="1:7" x14ac:dyDescent="0.3">
      <c r="A12" t="s">
        <v>12</v>
      </c>
      <c r="B12">
        <v>20</v>
      </c>
      <c r="C12">
        <v>1</v>
      </c>
      <c r="D12">
        <f t="shared" si="0"/>
        <v>20</v>
      </c>
    </row>
    <row r="13" spans="1:7" x14ac:dyDescent="0.3">
      <c r="A13" t="s">
        <v>13</v>
      </c>
      <c r="B13">
        <v>2.5000000000000001E-2</v>
      </c>
      <c r="C13">
        <v>1</v>
      </c>
      <c r="D13">
        <f t="shared" si="0"/>
        <v>2.5000000000000001E-2</v>
      </c>
    </row>
    <row r="14" spans="1:7" x14ac:dyDescent="0.3">
      <c r="A14" t="s">
        <v>14</v>
      </c>
      <c r="B14">
        <v>340</v>
      </c>
      <c r="C14">
        <v>1</v>
      </c>
      <c r="D14">
        <f t="shared" si="0"/>
        <v>340</v>
      </c>
    </row>
    <row r="15" spans="1:7" x14ac:dyDescent="0.3">
      <c r="D15">
        <f>SUM(D6:D14)</f>
        <v>1294.2649999999999</v>
      </c>
    </row>
  </sheetData>
  <pageMargins left="0.7" right="0.7" top="0.75" bottom="0.75" header="0.3" footer="0.3"/>
  <pageSetup paperSize="9" fitToWidth="0" fitToHeight="0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Vaz Afonso</dc:creator>
  <cp:lastModifiedBy>Rafael Vaz Afonso</cp:lastModifiedBy>
  <dcterms:created xsi:type="dcterms:W3CDTF">2025-12-05T21:48:39Z</dcterms:created>
  <dcterms:modified xsi:type="dcterms:W3CDTF">2025-12-12T14:04:40Z</dcterms:modified>
</cp:coreProperties>
</file>